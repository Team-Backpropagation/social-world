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SSTeamProject\Claude outputs\"/>
    </mc:Choice>
  </mc:AlternateContent>
  <xr:revisionPtr revIDLastSave="0" documentId="13_ncr:1_{C21F90D1-C7A2-4C4C-B546-6FB0BA43F5D2}" xr6:coauthVersionLast="47" xr6:coauthVersionMax="47" xr10:uidLastSave="{00000000-0000-0000-0000-000000000000}"/>
  <bookViews>
    <workbookView xWindow="-110" yWindow="-110" windowWidth="29020" windowHeight="17500" tabRatio="500" xr2:uid="{00000000-000D-0000-FFFF-FFFF00000000}"/>
  </bookViews>
  <sheets>
    <sheet name="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4" i="1" l="1"/>
  <c r="H52" i="1"/>
  <c r="H51" i="1"/>
  <c r="H50" i="1"/>
  <c r="H48" i="1"/>
  <c r="H47" i="1"/>
  <c r="H45" i="1"/>
  <c r="H44" i="1"/>
  <c r="H43" i="1"/>
  <c r="H42" i="1"/>
  <c r="H40" i="1"/>
  <c r="H39" i="1"/>
  <c r="H37" i="1"/>
  <c r="H36" i="1"/>
  <c r="H35" i="1"/>
  <c r="H33" i="1"/>
  <c r="H32" i="1"/>
  <c r="H31" i="1"/>
  <c r="H29" i="1"/>
  <c r="H28" i="1"/>
  <c r="H27" i="1"/>
  <c r="H25" i="1"/>
  <c r="H24" i="1"/>
  <c r="H23" i="1"/>
  <c r="H21" i="1"/>
  <c r="H20" i="1"/>
  <c r="H19" i="1"/>
  <c r="H17" i="1"/>
  <c r="H16" i="1"/>
  <c r="H14" i="1"/>
  <c r="H13" i="1"/>
  <c r="H12" i="1"/>
  <c r="H10" i="1"/>
  <c r="H9" i="1"/>
  <c r="H8" i="1"/>
  <c r="H6" i="1"/>
  <c r="H5" i="1"/>
</calcChain>
</file>

<file path=xl/sharedStrings.xml><?xml version="1.0" encoding="utf-8"?>
<sst xmlns="http://schemas.openxmlformats.org/spreadsheetml/2006/main" count="151" uniqueCount="114">
  <si>
    <r>
      <rPr>
        <b/>
        <sz val="18"/>
        <rFont val="Noto Sans CJK SC"/>
        <family val="2"/>
      </rPr>
      <t xml:space="preserve">사회적 고립 대응 및 예방 </t>
    </r>
    <r>
      <rPr>
        <b/>
        <sz val="18"/>
        <rFont val="Malgun Gothic"/>
        <family val="3"/>
        <charset val="129"/>
      </rPr>
      <t xml:space="preserve">Agent </t>
    </r>
    <r>
      <rPr>
        <b/>
        <sz val="18"/>
        <rFont val="Noto Sans CJK SC"/>
        <family val="2"/>
      </rPr>
      <t xml:space="preserve">프로젝트 </t>
    </r>
    <r>
      <rPr>
        <b/>
        <sz val="18"/>
        <rFont val="Malgun Gothic"/>
        <family val="3"/>
        <charset val="129"/>
      </rPr>
      <t>WBS</t>
    </r>
  </si>
  <si>
    <r>
      <rPr>
        <b/>
        <sz val="9"/>
        <rFont val="Noto Sans CJK SC"/>
        <family val="2"/>
      </rPr>
      <t>제외일</t>
    </r>
    <r>
      <rPr>
        <b/>
        <sz val="9"/>
        <rFont val="Malgun Gothic"/>
        <family val="3"/>
        <charset val="129"/>
      </rPr>
      <t>(</t>
    </r>
    <r>
      <rPr>
        <b/>
        <sz val="9"/>
        <rFont val="Noto Sans CJK SC"/>
        <family val="2"/>
      </rPr>
      <t>휴일</t>
    </r>
    <r>
      <rPr>
        <b/>
        <sz val="9"/>
        <rFont val="Malgun Gothic"/>
        <family val="3"/>
        <charset val="129"/>
      </rPr>
      <t>)</t>
    </r>
  </si>
  <si>
    <t>담당 색상</t>
  </si>
  <si>
    <r>
      <rPr>
        <b/>
        <sz val="10"/>
        <color rgb="FFFFFFFF"/>
        <rFont val="Noto Sans CJK SC"/>
        <family val="2"/>
      </rPr>
      <t>팀원</t>
    </r>
    <r>
      <rPr>
        <b/>
        <sz val="10"/>
        <color rgb="FFFFFFFF"/>
        <rFont val="Malgun Gothic"/>
        <family val="3"/>
        <charset val="129"/>
      </rPr>
      <t>A</t>
    </r>
  </si>
  <si>
    <r>
      <rPr>
        <b/>
        <sz val="10"/>
        <color rgb="FFFFFFFF"/>
        <rFont val="Noto Sans CJK SC"/>
        <family val="2"/>
      </rPr>
      <t>팀원</t>
    </r>
    <r>
      <rPr>
        <b/>
        <sz val="10"/>
        <color rgb="FFFFFFFF"/>
        <rFont val="Malgun Gothic"/>
        <family val="3"/>
        <charset val="129"/>
      </rPr>
      <t>B</t>
    </r>
  </si>
  <si>
    <r>
      <rPr>
        <b/>
        <sz val="10"/>
        <color rgb="FFFFFFFF"/>
        <rFont val="Noto Sans CJK SC"/>
        <family val="2"/>
      </rPr>
      <t>팀원</t>
    </r>
    <r>
      <rPr>
        <b/>
        <sz val="10"/>
        <color rgb="FFFFFFFF"/>
        <rFont val="Malgun Gothic"/>
        <family val="3"/>
        <charset val="129"/>
      </rPr>
      <t>C</t>
    </r>
  </si>
  <si>
    <r>
      <rPr>
        <b/>
        <sz val="10"/>
        <color rgb="FF000000"/>
        <rFont val="Noto Sans CJK SC"/>
        <family val="2"/>
      </rPr>
      <t>팀원</t>
    </r>
    <r>
      <rPr>
        <b/>
        <sz val="10"/>
        <color rgb="FF000000"/>
        <rFont val="Malgun Gothic"/>
        <family val="3"/>
        <charset val="129"/>
      </rPr>
      <t>D</t>
    </r>
  </si>
  <si>
    <t>전원</t>
  </si>
  <si>
    <t>제출 마감</t>
  </si>
  <si>
    <r>
      <rPr>
        <b/>
        <sz val="10"/>
        <color rgb="FFC00000"/>
        <rFont val="Malgun Gothic"/>
        <family val="3"/>
        <charset val="129"/>
      </rPr>
      <t>2026-10-21 (1</t>
    </r>
    <r>
      <rPr>
        <b/>
        <sz val="10"/>
        <color rgb="FFC00000"/>
        <rFont val="Noto Sans CJK SC"/>
        <family val="2"/>
      </rPr>
      <t>차 서류</t>
    </r>
    <r>
      <rPr>
        <b/>
        <sz val="10"/>
        <color rgb="FFC00000"/>
        <rFont val="Malgun Gothic"/>
        <family val="3"/>
        <charset val="129"/>
      </rPr>
      <t>)</t>
    </r>
  </si>
  <si>
    <r>
      <rPr>
        <b/>
        <sz val="9"/>
        <rFont val="Malgun Gothic"/>
        <family val="3"/>
        <charset val="129"/>
      </rPr>
      <t>9</t>
    </r>
    <r>
      <rPr>
        <b/>
        <sz val="9"/>
        <rFont val="Noto Sans CJK SC"/>
        <family val="2"/>
      </rPr>
      <t>월</t>
    </r>
  </si>
  <si>
    <r>
      <rPr>
        <b/>
        <sz val="9"/>
        <rFont val="Malgun Gothic"/>
        <family val="3"/>
        <charset val="129"/>
      </rPr>
      <t>10</t>
    </r>
    <r>
      <rPr>
        <b/>
        <sz val="9"/>
        <rFont val="Noto Sans CJK SC"/>
        <family val="2"/>
      </rPr>
      <t>월</t>
    </r>
  </si>
  <si>
    <t>구분</t>
  </si>
  <si>
    <t>활동</t>
  </si>
  <si>
    <t>작업</t>
  </si>
  <si>
    <t>담당</t>
  </si>
  <si>
    <t>시작일</t>
  </si>
  <si>
    <t>종료일</t>
  </si>
  <si>
    <t>작업기간</t>
  </si>
  <si>
    <t>산출물</t>
  </si>
  <si>
    <t>기획</t>
  </si>
  <si>
    <r>
      <rPr>
        <b/>
        <sz val="11"/>
        <rFont val="Noto Sans CJK SC"/>
        <family val="2"/>
      </rPr>
      <t>주제</t>
    </r>
    <r>
      <rPr>
        <b/>
        <sz val="11"/>
        <rFont val="Malgun Gothic"/>
        <family val="3"/>
        <charset val="129"/>
      </rPr>
      <t>·</t>
    </r>
    <r>
      <rPr>
        <b/>
        <sz val="11"/>
        <rFont val="Noto Sans CJK SC"/>
        <family val="2"/>
      </rPr>
      <t>데이터 이해</t>
    </r>
  </si>
  <si>
    <r>
      <rPr>
        <sz val="10"/>
        <rFont val="Noto Sans CJK SC"/>
        <family val="2"/>
      </rPr>
      <t>주제설명자료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데이터 정의서 정독 및 요구사항 정리</t>
    </r>
  </si>
  <si>
    <t>요구사항 정리 노트</t>
  </si>
  <si>
    <r>
      <rPr>
        <sz val="10"/>
        <rFont val="Noto Sans CJK SC"/>
        <family val="2"/>
      </rPr>
      <t>대회 제공 데이터셋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통신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카드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실제 테이블 스펙 확인</t>
    </r>
  </si>
  <si>
    <t>데이터 스펙 정리 문서</t>
  </si>
  <si>
    <t>문제 정의 및 지표 설계 방향</t>
  </si>
  <si>
    <r>
      <rPr>
        <sz val="10"/>
        <rFont val="Noto Sans CJK SC"/>
        <family val="2"/>
      </rPr>
      <t>사회적 고립 정의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자발성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지속기간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가시성 축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및 팀 관점 확정</t>
    </r>
  </si>
  <si>
    <t>문제정의서</t>
  </si>
  <si>
    <r>
      <rPr>
        <sz val="10"/>
        <rFont val="Noto Sans CJK SC"/>
        <family val="2"/>
      </rPr>
      <t>분석 단위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지역</t>
    </r>
    <r>
      <rPr>
        <sz val="10"/>
        <rFont val="Malgun Gothic"/>
        <family val="3"/>
        <charset val="129"/>
      </rPr>
      <t>×</t>
    </r>
    <r>
      <rPr>
        <sz val="10"/>
        <rFont val="Noto Sans CJK SC"/>
        <family val="2"/>
      </rPr>
      <t>연령대</t>
    </r>
    <r>
      <rPr>
        <sz val="10"/>
        <rFont val="Malgun Gothic"/>
        <family val="3"/>
        <charset val="129"/>
      </rPr>
      <t>×</t>
    </r>
    <r>
      <rPr>
        <sz val="10"/>
        <rFont val="Noto Sans CJK SC"/>
        <family val="2"/>
      </rPr>
      <t>성별 코호트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및 위험지수 설계방향 확정</t>
    </r>
  </si>
  <si>
    <t>지표설계 초안</t>
  </si>
  <si>
    <r>
      <rPr>
        <sz val="10"/>
        <rFont val="Noto Sans CJK SC"/>
        <family val="2"/>
      </rPr>
      <t xml:space="preserve">위험도 </t>
    </r>
    <r>
      <rPr>
        <sz val="10"/>
        <rFont val="Malgun Gothic"/>
        <family val="3"/>
        <charset val="129"/>
      </rPr>
      <t>5</t>
    </r>
    <r>
      <rPr>
        <sz val="10"/>
        <rFont val="Noto Sans CJK SC"/>
        <family val="2"/>
      </rPr>
      <t>단계 지수화 방법론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안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비교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정규화</t>
    </r>
    <r>
      <rPr>
        <sz val="10"/>
        <rFont val="Malgun Gothic"/>
        <family val="3"/>
        <charset val="129"/>
      </rPr>
      <t>+</t>
    </r>
    <r>
      <rPr>
        <sz val="10"/>
        <rFont val="Noto Sans CJK SC"/>
        <family val="2"/>
      </rPr>
      <t xml:space="preserve">가중합 </t>
    </r>
    <r>
      <rPr>
        <sz val="10"/>
        <rFont val="Malgun Gothic"/>
        <family val="3"/>
        <charset val="129"/>
      </rPr>
      <t xml:space="preserve">vs </t>
    </r>
    <r>
      <rPr>
        <sz val="10"/>
        <rFont val="Noto Sans CJK SC"/>
        <family val="2"/>
      </rPr>
      <t>이상탐지</t>
    </r>
    <r>
      <rPr>
        <sz val="10"/>
        <rFont val="Malgun Gothic"/>
        <family val="3"/>
        <charset val="129"/>
      </rPr>
      <t>)</t>
    </r>
  </si>
  <si>
    <t>방법론 비교표</t>
  </si>
  <si>
    <r>
      <rPr>
        <b/>
        <sz val="11"/>
        <rFont val="Noto Sans CJK SC"/>
        <family val="2"/>
      </rPr>
      <t>데이터</t>
    </r>
    <r>
      <rPr>
        <b/>
        <sz val="11"/>
        <rFont val="Malgun Gothic"/>
        <family val="3"/>
        <charset val="129"/>
      </rPr>
      <t>·</t>
    </r>
    <r>
      <rPr>
        <b/>
        <sz val="11"/>
        <rFont val="Noto Sans CJK SC"/>
        <family val="2"/>
      </rPr>
      <t>환경 준비</t>
    </r>
  </si>
  <si>
    <r>
      <rPr>
        <sz val="10"/>
        <rFont val="Noto Sans CJK SC"/>
        <family val="2"/>
      </rPr>
      <t>분석 환경</t>
    </r>
    <r>
      <rPr>
        <sz val="10"/>
        <rFont val="Malgun Gothic"/>
        <family val="3"/>
        <charset val="129"/>
      </rPr>
      <t>(Repo·</t>
    </r>
    <r>
      <rPr>
        <sz val="10"/>
        <rFont val="Noto Sans CJK SC"/>
        <family val="2"/>
      </rPr>
      <t>폴더구조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버전관리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세팅 및 데이터 저장구조 설계</t>
    </r>
  </si>
  <si>
    <r>
      <rPr>
        <sz val="10"/>
        <rFont val="Noto Sans CJK SC"/>
        <family val="2"/>
      </rPr>
      <t xml:space="preserve">분석 </t>
    </r>
    <r>
      <rPr>
        <sz val="10"/>
        <rFont val="Malgun Gothic"/>
        <family val="3"/>
        <charset val="129"/>
      </rPr>
      <t>Repo</t>
    </r>
  </si>
  <si>
    <r>
      <rPr>
        <sz val="10"/>
        <rFont val="Noto Sans CJK SC"/>
        <family val="2"/>
      </rPr>
      <t>외부 공공데이터</t>
    </r>
    <r>
      <rPr>
        <sz val="10"/>
        <rFont val="Malgun Gothic"/>
        <family val="3"/>
        <charset val="129"/>
      </rPr>
      <t>(KOSIS·</t>
    </r>
    <r>
      <rPr>
        <sz val="10"/>
        <rFont val="Noto Sans CJK SC"/>
        <family val="2"/>
      </rPr>
      <t>행안부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고독사통계 등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 xml:space="preserve">후보 목록화 및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차 수집</t>
    </r>
  </si>
  <si>
    <t>외부데이터 목록 및 원본파일</t>
  </si>
  <si>
    <r>
      <rPr>
        <sz val="10"/>
        <rFont val="Noto Sans CJK SC"/>
        <family val="2"/>
      </rPr>
      <t>격자</t>
    </r>
    <r>
      <rPr>
        <sz val="10"/>
        <rFont val="Malgun Gothic"/>
        <family val="3"/>
        <charset val="129"/>
      </rPr>
      <t>(BLOCK_CD)↔</t>
    </r>
    <r>
      <rPr>
        <sz val="10"/>
        <rFont val="Noto Sans CJK SC"/>
        <family val="2"/>
      </rPr>
      <t>행정구역 공간매핑 테이블 확보</t>
    </r>
  </si>
  <si>
    <t>공간매핑 테이블</t>
  </si>
  <si>
    <t>역할분담 및 일정 수립</t>
  </si>
  <si>
    <r>
      <rPr>
        <sz val="10"/>
        <rFont val="Noto Sans CJK SC"/>
        <family val="2"/>
      </rPr>
      <t>팀 역할분담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협업규칙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코드 컨벤션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수립</t>
    </r>
  </si>
  <si>
    <t>협업 가이드</t>
  </si>
  <si>
    <r>
      <rPr>
        <sz val="10"/>
        <rFont val="Noto Sans CJK SC"/>
        <family val="2"/>
      </rPr>
      <t>전체 일정</t>
    </r>
    <r>
      <rPr>
        <sz val="10"/>
        <rFont val="Malgun Gothic"/>
        <family val="3"/>
        <charset val="129"/>
      </rPr>
      <t xml:space="preserve">(WBS) </t>
    </r>
    <r>
      <rPr>
        <sz val="10"/>
        <rFont val="Noto Sans CJK SC"/>
        <family val="2"/>
      </rPr>
      <t>확정 및 마일스톤 공유</t>
    </r>
  </si>
  <si>
    <r>
      <rPr>
        <sz val="10"/>
        <rFont val="Malgun Gothic"/>
        <family val="3"/>
        <charset val="129"/>
      </rPr>
      <t xml:space="preserve">WBS </t>
    </r>
    <r>
      <rPr>
        <sz val="10"/>
        <rFont val="Noto Sans CJK SC"/>
        <family val="2"/>
      </rPr>
      <t>확정본</t>
    </r>
  </si>
  <si>
    <t>데이터 분석</t>
  </si>
  <si>
    <r>
      <rPr>
        <b/>
        <sz val="11"/>
        <rFont val="Noto Sans CJK SC"/>
        <family val="2"/>
      </rPr>
      <t>탐색적 데이터 분석</t>
    </r>
    <r>
      <rPr>
        <b/>
        <sz val="11"/>
        <rFont val="Malgun Gothic"/>
        <family val="3"/>
        <charset val="129"/>
      </rPr>
      <t>(EDA)</t>
    </r>
  </si>
  <si>
    <r>
      <rPr>
        <sz val="10"/>
        <rFont val="Noto Sans CJK SC"/>
        <family val="2"/>
      </rPr>
      <t>통신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유동인구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데이터 결측치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이상치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분포 확인</t>
    </r>
  </si>
  <si>
    <r>
      <rPr>
        <sz val="10"/>
        <rFont val="Noto Sans CJK SC"/>
        <family val="2"/>
      </rPr>
      <t xml:space="preserve">통신데이터 </t>
    </r>
    <r>
      <rPr>
        <sz val="10"/>
        <rFont val="Malgun Gothic"/>
        <family val="3"/>
        <charset val="129"/>
      </rPr>
      <t xml:space="preserve">EDA </t>
    </r>
    <r>
      <rPr>
        <sz val="10"/>
        <rFont val="Noto Sans CJK SC"/>
        <family val="2"/>
      </rPr>
      <t>리포트</t>
    </r>
  </si>
  <si>
    <r>
      <rPr>
        <sz val="10"/>
        <rFont val="Noto Sans CJK SC"/>
        <family val="2"/>
      </rPr>
      <t>카드 결제 데이터 결측치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이상치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분포 확인</t>
    </r>
  </si>
  <si>
    <r>
      <rPr>
        <sz val="10"/>
        <rFont val="Noto Sans CJK SC"/>
        <family val="2"/>
      </rPr>
      <t xml:space="preserve">카드데이터 </t>
    </r>
    <r>
      <rPr>
        <sz val="10"/>
        <rFont val="Malgun Gothic"/>
        <family val="3"/>
        <charset val="129"/>
      </rPr>
      <t xml:space="preserve">EDA </t>
    </r>
    <r>
      <rPr>
        <sz val="10"/>
        <rFont val="Noto Sans CJK SC"/>
        <family val="2"/>
      </rPr>
      <t>리포트</t>
    </r>
  </si>
  <si>
    <r>
      <rPr>
        <sz val="10"/>
        <rFont val="Noto Sans CJK SC"/>
        <family val="2"/>
      </rPr>
      <t>강남구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춘천시 지역별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연령대별 기초통계 비교분석</t>
    </r>
  </si>
  <si>
    <t>지역 비교분석 노트</t>
  </si>
  <si>
    <t>데이터 전처리 및 결합</t>
  </si>
  <si>
    <t>격자→행정구역 공간조인 처리 및 검증</t>
  </si>
  <si>
    <t>공간결합 코드 및 검증결과</t>
  </si>
  <si>
    <r>
      <rPr>
        <sz val="10"/>
        <rFont val="Noto Sans CJK SC"/>
        <family val="2"/>
      </rPr>
      <t>통신</t>
    </r>
    <r>
      <rPr>
        <sz val="10"/>
        <rFont val="Malgun Gothic"/>
        <family val="3"/>
        <charset val="129"/>
      </rPr>
      <t>-</t>
    </r>
    <r>
      <rPr>
        <sz val="10"/>
        <rFont val="Noto Sans CJK SC"/>
        <family val="2"/>
      </rPr>
      <t>카드 데이터 코호트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지역</t>
    </r>
    <r>
      <rPr>
        <sz val="10"/>
        <rFont val="Malgun Gothic"/>
        <family val="3"/>
        <charset val="129"/>
      </rPr>
      <t>×</t>
    </r>
    <r>
      <rPr>
        <sz val="10"/>
        <rFont val="Noto Sans CJK SC"/>
        <family val="2"/>
      </rPr>
      <t>연령대</t>
    </r>
    <r>
      <rPr>
        <sz val="10"/>
        <rFont val="Malgun Gothic"/>
        <family val="3"/>
        <charset val="129"/>
      </rPr>
      <t>×</t>
    </r>
    <r>
      <rPr>
        <sz val="10"/>
        <rFont val="Noto Sans CJK SC"/>
        <family val="2"/>
      </rPr>
      <t>성별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단위 병합</t>
    </r>
  </si>
  <si>
    <t>통합 코호트 데이터셋</t>
  </si>
  <si>
    <t>외부 공공데이터 결합 및 파생변수 생성</t>
  </si>
  <si>
    <t>파생변수 테이블</t>
  </si>
  <si>
    <r>
      <rPr>
        <b/>
        <sz val="11"/>
        <rFont val="Noto Sans CJK SC"/>
        <family val="2"/>
      </rPr>
      <t xml:space="preserve">위험 신호 지표 설계 및 </t>
    </r>
    <r>
      <rPr>
        <b/>
        <sz val="11"/>
        <rFont val="Malgun Gothic"/>
        <family val="3"/>
        <charset val="129"/>
      </rPr>
      <t>1</t>
    </r>
    <r>
      <rPr>
        <b/>
        <sz val="11"/>
        <rFont val="Noto Sans CJK SC"/>
        <family val="2"/>
      </rPr>
      <t>차 검증</t>
    </r>
  </si>
  <si>
    <r>
      <rPr>
        <sz val="10"/>
        <rFont val="Noto Sans CJK SC"/>
        <family val="2"/>
      </rPr>
      <t>활동량 급감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이상치 탐지 지표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카드 일별 중심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정의 및 구현</t>
    </r>
  </si>
  <si>
    <t>위험신호 지표 코드</t>
  </si>
  <si>
    <r>
      <rPr>
        <sz val="10"/>
        <rFont val="Noto Sans CJK SC"/>
        <family val="2"/>
      </rPr>
      <t>통신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월간 배경지표</t>
    </r>
    <r>
      <rPr>
        <sz val="10"/>
        <rFont val="Malgun Gothic"/>
        <family val="3"/>
        <charset val="129"/>
      </rPr>
      <t>)+</t>
    </r>
    <r>
      <rPr>
        <sz val="10"/>
        <rFont val="Noto Sans CJK SC"/>
        <family val="2"/>
      </rPr>
      <t>카드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일별 트리거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계층적 결합 로직 설계</t>
    </r>
  </si>
  <si>
    <t>결합지표 설계서</t>
  </si>
  <si>
    <r>
      <rPr>
        <sz val="10"/>
        <rFont val="Noto Sans CJK SC"/>
        <family val="2"/>
      </rPr>
      <t xml:space="preserve">고독사 통계 등과의 상관관계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차 검증</t>
    </r>
  </si>
  <si>
    <t>지표 타당성 검증 결과</t>
  </si>
  <si>
    <t>모델링</t>
  </si>
  <si>
    <t>위험도 산출 모델 개발</t>
  </si>
  <si>
    <r>
      <rPr>
        <sz val="10"/>
        <rFont val="Noto Sans CJK SC"/>
        <family val="2"/>
      </rPr>
      <t>정규화</t>
    </r>
    <r>
      <rPr>
        <sz val="10"/>
        <rFont val="Malgun Gothic"/>
        <family val="3"/>
        <charset val="129"/>
      </rPr>
      <t>+</t>
    </r>
    <r>
      <rPr>
        <sz val="10"/>
        <rFont val="Noto Sans CJK SC"/>
        <family val="2"/>
      </rPr>
      <t>가중합 기반 고립위험지수 모델 구현</t>
    </r>
  </si>
  <si>
    <r>
      <rPr>
        <sz val="10"/>
        <rFont val="Noto Sans CJK SC"/>
        <family val="2"/>
      </rPr>
      <t>위험도 산출 모델</t>
    </r>
    <r>
      <rPr>
        <sz val="10"/>
        <rFont val="Malgun Gothic"/>
        <family val="3"/>
        <charset val="129"/>
      </rPr>
      <t>(v1)</t>
    </r>
  </si>
  <si>
    <r>
      <rPr>
        <sz val="10"/>
        <rFont val="Malgun Gothic"/>
        <family val="3"/>
        <charset val="129"/>
      </rPr>
      <t>5</t>
    </r>
    <r>
      <rPr>
        <sz val="10"/>
        <rFont val="Noto Sans CJK SC"/>
        <family val="2"/>
      </rPr>
      <t>단계 위험등급 분위수 구간화 구현</t>
    </r>
  </si>
  <si>
    <r>
      <rPr>
        <sz val="10"/>
        <rFont val="Malgun Gothic"/>
        <family val="3"/>
        <charset val="129"/>
      </rPr>
      <t>5</t>
    </r>
    <r>
      <rPr>
        <sz val="10"/>
        <rFont val="Noto Sans CJK SC"/>
        <family val="2"/>
      </rPr>
      <t>단계 등급화 로직</t>
    </r>
  </si>
  <si>
    <r>
      <rPr>
        <sz val="10"/>
        <rFont val="Noto Sans CJK SC"/>
        <family val="2"/>
      </rPr>
      <t>모델 성능평가 및 결과 해석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설명가능성 점검</t>
    </r>
    <r>
      <rPr>
        <sz val="10"/>
        <rFont val="Malgun Gothic"/>
        <family val="3"/>
        <charset val="129"/>
      </rPr>
      <t>)</t>
    </r>
  </si>
  <si>
    <t>모델 평가 리포트</t>
  </si>
  <si>
    <r>
      <rPr>
        <b/>
        <sz val="11"/>
        <rFont val="Malgun Gothic"/>
        <family val="3"/>
        <charset val="129"/>
      </rPr>
      <t xml:space="preserve">AI </t>
    </r>
    <r>
      <rPr>
        <b/>
        <sz val="11"/>
        <rFont val="Noto Sans CJK SC"/>
        <family val="2"/>
      </rPr>
      <t>에이전트 판단</t>
    </r>
    <r>
      <rPr>
        <b/>
        <sz val="11"/>
        <rFont val="Malgun Gothic"/>
        <family val="3"/>
        <charset val="129"/>
      </rPr>
      <t>·</t>
    </r>
    <r>
      <rPr>
        <b/>
        <sz val="11"/>
        <rFont val="Noto Sans CJK SC"/>
        <family val="2"/>
      </rPr>
      <t>추천 로직 설계</t>
    </r>
  </si>
  <si>
    <t>위험탐지→수준판단→원인분석→대응추천 파이프라인 설계</t>
  </si>
  <si>
    <t>에이전트 아키텍처 문서</t>
  </si>
  <si>
    <r>
      <rPr>
        <sz val="10"/>
        <rFont val="Noto Sans CJK SC"/>
        <family val="2"/>
      </rPr>
      <t>복지자원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공공서비스 매핑 데이터베이스 구축</t>
    </r>
  </si>
  <si>
    <r>
      <rPr>
        <sz val="10"/>
        <rFont val="Noto Sans CJK SC"/>
        <family val="2"/>
      </rPr>
      <t xml:space="preserve">복지자원 매핑 </t>
    </r>
    <r>
      <rPr>
        <sz val="10"/>
        <rFont val="Malgun Gothic"/>
        <family val="3"/>
        <charset val="129"/>
      </rPr>
      <t>DB</t>
    </r>
  </si>
  <si>
    <r>
      <rPr>
        <sz val="10"/>
        <rFont val="Malgun Gothic"/>
        <family val="3"/>
        <charset val="129"/>
      </rPr>
      <t xml:space="preserve">LLM </t>
    </r>
    <r>
      <rPr>
        <sz val="10"/>
        <rFont val="Noto Sans CJK SC"/>
        <family val="2"/>
      </rPr>
      <t>기반 위험신호 해석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맞춤 대응문구 생성 프로토타입 구현</t>
    </r>
  </si>
  <si>
    <r>
      <rPr>
        <sz val="10"/>
        <rFont val="Malgun Gothic"/>
        <family val="3"/>
        <charset val="129"/>
      </rPr>
      <t xml:space="preserve">LLM </t>
    </r>
    <r>
      <rPr>
        <sz val="10"/>
        <rFont val="Noto Sans CJK SC"/>
        <family val="2"/>
      </rPr>
      <t>프로토타입 코드</t>
    </r>
  </si>
  <si>
    <t>통합 및 시나리오 검증</t>
  </si>
  <si>
    <t>탐지→판단→추천 전체 파이프라인 통합 테스트</t>
  </si>
  <si>
    <t>통합 테스트 결과</t>
  </si>
  <si>
    <r>
      <rPr>
        <sz val="10"/>
        <rFont val="Noto Sans CJK SC"/>
        <family val="2"/>
      </rPr>
      <t>지역</t>
    </r>
    <r>
      <rPr>
        <sz val="10"/>
        <rFont val="Malgun Gothic"/>
        <family val="3"/>
        <charset val="129"/>
      </rPr>
      <t>×</t>
    </r>
    <r>
      <rPr>
        <sz val="10"/>
        <rFont val="Noto Sans CJK SC"/>
        <family val="2"/>
      </rPr>
      <t>인구집단 시나리오별 사례 검증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강남구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춘천시</t>
    </r>
    <r>
      <rPr>
        <sz val="10"/>
        <rFont val="Malgun Gothic"/>
        <family val="3"/>
        <charset val="129"/>
      </rPr>
      <t>)</t>
    </r>
  </si>
  <si>
    <t>시나리오 검증 사례집</t>
  </si>
  <si>
    <t>산출물 작성</t>
  </si>
  <si>
    <t>보고서 작성</t>
  </si>
  <si>
    <r>
      <rPr>
        <sz val="10"/>
        <rFont val="Noto Sans CJK SC"/>
        <family val="2"/>
      </rPr>
      <t>데이터 분석 근거자료</t>
    </r>
    <r>
      <rPr>
        <sz val="10"/>
        <rFont val="Malgun Gothic"/>
        <family val="3"/>
        <charset val="129"/>
      </rPr>
      <t>(EDA·</t>
    </r>
    <r>
      <rPr>
        <sz val="10"/>
        <rFont val="Noto Sans CJK SC"/>
        <family val="2"/>
      </rPr>
      <t>비교분석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방법론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작성</t>
    </r>
  </si>
  <si>
    <r>
      <rPr>
        <sz val="10"/>
        <rFont val="Noto Sans CJK SC"/>
        <family val="2"/>
      </rPr>
      <t>보고서 초안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분석 파트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</si>
  <si>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핵심 인사이트 및 대응전략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기대효과 작성</t>
    </r>
  </si>
  <si>
    <r>
      <rPr>
        <sz val="10"/>
        <rFont val="Noto Sans CJK SC"/>
        <family val="2"/>
      </rPr>
      <t>보고서 초안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인사이트 파트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</si>
  <si>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AI </t>
    </r>
    <r>
      <rPr>
        <sz val="10"/>
        <rFont val="Noto Sans CJK SC"/>
        <family val="2"/>
      </rPr>
      <t>에이전트 설계 결과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판단로직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추천체계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시나리오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작성</t>
    </r>
  </si>
  <si>
    <r>
      <rPr>
        <sz val="10"/>
        <rFont val="Noto Sans CJK SC"/>
        <family val="2"/>
      </rPr>
      <t>보고서 초안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에이전트 파트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</si>
  <si>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외부데이터 출처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가상데이터 생성방식</t>
    </r>
    <r>
      <rPr>
        <sz val="10"/>
        <rFont val="Malgun Gothic"/>
        <family val="3"/>
        <charset val="129"/>
      </rPr>
      <t xml:space="preserve">·LLM </t>
    </r>
    <r>
      <rPr>
        <sz val="10"/>
        <rFont val="Noto Sans CJK SC"/>
        <family val="2"/>
      </rPr>
      <t>활용 설명자료 작성</t>
    </r>
  </si>
  <si>
    <t>부속 설명자료</t>
  </si>
  <si>
    <t>코드 정리 및 재현성 확보</t>
  </si>
  <si>
    <r>
      <rPr>
        <sz val="10"/>
        <rFont val="Noto Sans CJK SC"/>
        <family val="2"/>
      </rPr>
      <t>분석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모델링 코드 정리 및 재현 가능하도록 문서화</t>
    </r>
  </si>
  <si>
    <t>재현가능 코드 패키지</t>
  </si>
  <si>
    <r>
      <rPr>
        <sz val="10"/>
        <rFont val="Malgun Gothic"/>
        <family val="3"/>
        <charset val="129"/>
      </rPr>
      <t xml:space="preserve">README </t>
    </r>
    <r>
      <rPr>
        <sz val="10"/>
        <rFont val="Noto Sans CJK SC"/>
        <family val="2"/>
      </rPr>
      <t>및 실행 가이드 작성</t>
    </r>
  </si>
  <si>
    <t>README</t>
  </si>
  <si>
    <t>최종 점검 및 제출 준비</t>
  </si>
  <si>
    <r>
      <rPr>
        <sz val="10"/>
        <rFont val="Noto Sans CJK SC"/>
        <family val="2"/>
      </rPr>
      <t>보고서 통합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디자인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시각화 퀄리티 점검</t>
    </r>
  </si>
  <si>
    <r>
      <rPr>
        <sz val="10"/>
        <rFont val="Noto Sans CJK SC"/>
        <family val="2"/>
      </rPr>
      <t>최종 보고서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초안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</si>
  <si>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제출 서류 체크리스트 확인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양식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분량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필수항목</t>
    </r>
    <r>
      <rPr>
        <sz val="10"/>
        <rFont val="Malgun Gothic"/>
        <family val="3"/>
        <charset val="129"/>
      </rPr>
      <t>)</t>
    </r>
  </si>
  <si>
    <t>체크리스트 확인 완료</t>
  </si>
  <si>
    <t>팀 내부 리뷰 및 최종 수정</t>
  </si>
  <si>
    <t>최종본</t>
  </si>
  <si>
    <t>제출</t>
  </si>
  <si>
    <t>최종 제출</t>
  </si>
  <si>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 xml:space="preserve">차 서류 최종 제출 </t>
    </r>
    <r>
      <rPr>
        <sz val="10"/>
        <rFont val="Malgun Gothic"/>
        <family val="3"/>
        <charset val="129"/>
      </rPr>
      <t>(bigcontest.or.kr)</t>
    </r>
  </si>
  <si>
    <t>제출 완료</t>
  </si>
  <si>
    <r>
      <rPr>
        <i/>
        <sz val="9"/>
        <color rgb="FF808080"/>
        <rFont val="Noto Sans CJK SC"/>
        <family val="2"/>
      </rPr>
      <t>※ 파란색</t>
    </r>
    <r>
      <rPr>
        <i/>
        <sz val="9"/>
        <color rgb="FF808080"/>
        <rFont val="Malgun Gothic"/>
        <family val="3"/>
        <charset val="129"/>
      </rPr>
      <t>=</t>
    </r>
    <r>
      <rPr>
        <i/>
        <sz val="9"/>
        <color rgb="FF808080"/>
        <rFont val="Noto Sans CJK SC"/>
        <family val="2"/>
      </rPr>
      <t>주말</t>
    </r>
    <r>
      <rPr>
        <i/>
        <sz val="9"/>
        <color rgb="FF808080"/>
        <rFont val="Malgun Gothic"/>
        <family val="3"/>
        <charset val="129"/>
      </rPr>
      <t xml:space="preserve">, </t>
    </r>
    <r>
      <rPr>
        <i/>
        <sz val="9"/>
        <color rgb="FF808080"/>
        <rFont val="Noto Sans CJK SC"/>
        <family val="2"/>
      </rPr>
      <t>노란색</t>
    </r>
    <r>
      <rPr>
        <i/>
        <sz val="9"/>
        <color rgb="FF808080"/>
        <rFont val="Malgun Gothic"/>
        <family val="3"/>
        <charset val="129"/>
      </rPr>
      <t>=</t>
    </r>
    <r>
      <rPr>
        <i/>
        <sz val="9"/>
        <color rgb="FF808080"/>
        <rFont val="Noto Sans CJK SC"/>
        <family val="2"/>
      </rPr>
      <t>추석 연휴</t>
    </r>
    <r>
      <rPr>
        <i/>
        <sz val="9"/>
        <color rgb="FF808080"/>
        <rFont val="Malgun Gothic"/>
        <family val="3"/>
        <charset val="129"/>
      </rPr>
      <t>(9/24~26)</t>
    </r>
    <r>
      <rPr>
        <i/>
        <sz val="9"/>
        <color rgb="FF808080"/>
        <rFont val="Noto Sans CJK SC"/>
        <family val="2"/>
      </rPr>
      <t>로 작업일수에서 제외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</si>
</sst>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/d"/>
    <numFmt numFmtId="178" formatCode="#&quot;일&quot;"/>
  </numFmts>
  <fonts count="23">
    <font>
      <sz val="11"/>
      <color theme="1"/>
      <name val="Calibri"/>
      <family val="2"/>
      <charset val="1"/>
    </font>
    <font>
      <b/>
      <sz val="18"/>
      <name val="Noto Sans CJK SC"/>
      <family val="2"/>
    </font>
    <font>
      <b/>
      <sz val="18"/>
      <name val="Malgun Gothic"/>
      <family val="3"/>
      <charset val="129"/>
    </font>
    <font>
      <b/>
      <sz val="9"/>
      <name val="Noto Sans CJK SC"/>
      <family val="2"/>
    </font>
    <font>
      <b/>
      <sz val="9"/>
      <name val="Malgun Gothic"/>
      <family val="3"/>
      <charset val="129"/>
    </font>
    <font>
      <b/>
      <sz val="10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Malgun Gothic"/>
      <family val="3"/>
      <charset val="129"/>
    </font>
    <font>
      <b/>
      <sz val="10"/>
      <color rgb="FF000000"/>
      <name val="Noto Sans CJK SC"/>
      <family val="2"/>
    </font>
    <font>
      <b/>
      <sz val="10"/>
      <color rgb="FF000000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b/>
      <sz val="10"/>
      <color rgb="FFC00000"/>
      <name val="Noto Sans CJK SC"/>
      <family val="2"/>
    </font>
    <font>
      <sz val="9"/>
      <name val="Malgun Gothic"/>
      <family val="3"/>
      <charset val="129"/>
    </font>
    <font>
      <b/>
      <sz val="11"/>
      <name val="Noto Sans CJK SC"/>
      <family val="2"/>
    </font>
    <font>
      <b/>
      <sz val="8"/>
      <name val="Malgun Gothic"/>
      <family val="3"/>
      <charset val="129"/>
    </font>
    <font>
      <b/>
      <sz val="8"/>
      <color rgb="FFC00000"/>
      <name val="Malgun Gothic"/>
      <family val="3"/>
      <charset val="129"/>
    </font>
    <font>
      <b/>
      <sz val="12"/>
      <name val="Noto Sans CJK SC"/>
      <family val="2"/>
    </font>
    <font>
      <b/>
      <sz val="11"/>
      <name val="Malgun Gothic"/>
      <family val="3"/>
      <charset val="129"/>
    </font>
    <font>
      <sz val="10"/>
      <name val="Noto Sans CJK SC"/>
      <family val="2"/>
    </font>
    <font>
      <sz val="10"/>
      <name val="Malgun Gothic"/>
      <family val="3"/>
      <charset val="129"/>
    </font>
    <font>
      <i/>
      <sz val="9"/>
      <color rgb="FF808080"/>
      <name val="Noto Sans CJK SC"/>
      <family val="2"/>
    </font>
    <font>
      <i/>
      <sz val="9"/>
      <color rgb="FF808080"/>
      <name val="Malgun Gothic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BFBFBF"/>
      </patternFill>
    </fill>
    <fill>
      <patternFill patternType="solid">
        <fgColor rgb="FF5B9BD5"/>
        <bgColor rgb="FF969696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8064A2"/>
        <bgColor rgb="FF808080"/>
      </patternFill>
    </fill>
    <fill>
      <patternFill patternType="solid">
        <fgColor rgb="FFBFBFBF"/>
        <bgColor rgb="FF99CCFF"/>
      </patternFill>
    </fill>
    <fill>
      <patternFill patternType="solid">
        <fgColor rgb="FFDCE6F1"/>
        <bgColor rgb="FFF2DCDB"/>
      </patternFill>
    </fill>
    <fill>
      <patternFill patternType="solid">
        <fgColor rgb="FFF2DCDB"/>
        <bgColor rgb="FFFDE9D9"/>
      </patternFill>
    </fill>
    <fill>
      <patternFill patternType="solid">
        <fgColor rgb="FFFFD966"/>
        <bgColor rgb="FFFFF2CC"/>
      </patternFill>
    </fill>
    <fill>
      <patternFill patternType="solid">
        <fgColor rgb="FFFDE9D9"/>
        <b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7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12" fillId="0" borderId="0" xfId="0" applyNumberFormat="1" applyFont="1"/>
    <xf numFmtId="0" fontId="13" fillId="7" borderId="1" xfId="0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textRotation="90"/>
    </xf>
    <xf numFmtId="177" fontId="14" fillId="8" borderId="1" xfId="0" applyNumberFormat="1" applyFont="1" applyFill="1" applyBorder="1" applyAlignment="1">
      <alignment horizontal="center" vertical="center" textRotation="90"/>
    </xf>
    <xf numFmtId="177" fontId="14" fillId="9" borderId="1" xfId="0" applyNumberFormat="1" applyFont="1" applyFill="1" applyBorder="1" applyAlignment="1">
      <alignment horizontal="center" vertical="center" textRotation="90"/>
    </xf>
    <xf numFmtId="177" fontId="14" fillId="10" borderId="1" xfId="0" applyNumberFormat="1" applyFont="1" applyFill="1" applyBorder="1" applyAlignment="1">
      <alignment horizontal="center" vertical="center" textRotation="90"/>
    </xf>
    <xf numFmtId="177" fontId="15" fillId="0" borderId="1" xfId="0" applyNumberFormat="1" applyFont="1" applyBorder="1" applyAlignment="1">
      <alignment horizontal="center" vertical="center" textRotation="90"/>
    </xf>
    <xf numFmtId="0" fontId="0" fillId="0" borderId="1" xfId="0" applyBorder="1"/>
    <xf numFmtId="0" fontId="18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20" fillId="0" borderId="0" xfId="0" applyFont="1"/>
  </cellXfs>
  <cellStyles count="1">
    <cellStyle name="표준" xfId="0" builtinId="0"/>
  </cellStyles>
  <dxfs count="7">
    <dxf>
      <fill>
        <patternFill>
          <bgColor rgb="FFF5F5F5"/>
        </patternFill>
      </fill>
    </dxf>
    <dxf>
      <fill>
        <patternFill>
          <bgColor rgb="FFFFF2CC"/>
        </patternFill>
      </fill>
    </dxf>
    <dxf>
      <fill>
        <patternFill>
          <bgColor rgb="FF8064A2"/>
        </patternFill>
      </fill>
    </dxf>
    <dxf>
      <fill>
        <patternFill>
          <bgColor rgb="FFFFC000"/>
        </patternFill>
      </fill>
    </dxf>
    <dxf>
      <fill>
        <patternFill>
          <bgColor rgb="FFED7D31"/>
        </patternFill>
      </fill>
    </dxf>
    <dxf>
      <fill>
        <patternFill>
          <bgColor rgb="FF5B9BD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CE6F1"/>
      <rgbColor rgb="FF660066"/>
      <rgbColor rgb="FFFF8080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DE9D9"/>
      <rgbColor rgb="FF99CCFF"/>
      <rgbColor rgb="FFFF99CC"/>
      <rgbColor rgb="FFCC99FF"/>
      <rgbColor rgb="FFFFD966"/>
      <rgbColor rgb="FF3366FF"/>
      <rgbColor rgb="FF33CCCC"/>
      <rgbColor rgb="FF92D050"/>
      <rgbColor rgb="FFFFC000"/>
      <rgbColor rgb="FFFF9900"/>
      <rgbColor rgb="FFED7D31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65"/>
  <sheetViews>
    <sheetView showGridLines="0" tabSelected="1" zoomScaleNormal="100" workbookViewId="0">
      <pane ySplit="3" topLeftCell="A35" activePane="bottomLeft" state="frozen"/>
      <selection pane="bottomLeft" activeCell="E12" sqref="E12"/>
    </sheetView>
  </sheetViews>
  <sheetFormatPr defaultColWidth="8.6328125" defaultRowHeight="14.5"/>
  <cols>
    <col min="1" max="1" width="2.453125" customWidth="1"/>
    <col min="2" max="2" width="14" customWidth="1"/>
    <col min="3" max="3" width="7" customWidth="1"/>
    <col min="4" max="4" width="58" customWidth="1"/>
    <col min="5" max="5" width="9" customWidth="1"/>
    <col min="6" max="7" width="11" customWidth="1"/>
    <col min="8" max="8" width="9" customWidth="1"/>
    <col min="9" max="9" width="30" customWidth="1"/>
    <col min="10" max="10" width="2.453125" customWidth="1"/>
    <col min="11" max="46" width="2.6328125" customWidth="1"/>
  </cols>
  <sheetData>
    <row r="1" spans="2:48" ht="31.5" customHeight="1">
      <c r="B1" s="4" t="s">
        <v>0</v>
      </c>
      <c r="C1" s="4"/>
      <c r="D1" s="4"/>
      <c r="E1" s="4"/>
      <c r="F1" s="4"/>
      <c r="G1" s="4"/>
      <c r="H1" s="4"/>
      <c r="I1" s="4"/>
      <c r="AV1" s="5" t="s">
        <v>1</v>
      </c>
    </row>
    <row r="2" spans="2:48" ht="18" customHeight="1">
      <c r="B2" s="6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1" t="s">
        <v>7</v>
      </c>
      <c r="H2" s="12" t="s">
        <v>8</v>
      </c>
      <c r="I2" s="13" t="s">
        <v>9</v>
      </c>
      <c r="K2" s="14" t="s">
        <v>10</v>
      </c>
      <c r="Z2" s="14" t="s">
        <v>11</v>
      </c>
      <c r="AV2" s="15">
        <v>46289</v>
      </c>
    </row>
    <row r="3" spans="2:48" ht="30" customHeight="1">
      <c r="B3" s="16" t="s">
        <v>12</v>
      </c>
      <c r="C3" s="16" t="s">
        <v>13</v>
      </c>
      <c r="D3" s="16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K3" s="17">
        <v>46281</v>
      </c>
      <c r="L3" s="17">
        <v>46282</v>
      </c>
      <c r="M3" s="17">
        <v>46283</v>
      </c>
      <c r="N3" s="18">
        <v>46284</v>
      </c>
      <c r="O3" s="19">
        <v>46285</v>
      </c>
      <c r="P3" s="17">
        <v>46286</v>
      </c>
      <c r="Q3" s="17">
        <v>46287</v>
      </c>
      <c r="R3" s="17">
        <v>46288</v>
      </c>
      <c r="S3" s="20">
        <v>46289</v>
      </c>
      <c r="T3" s="20">
        <v>46290</v>
      </c>
      <c r="U3" s="18">
        <v>46291</v>
      </c>
      <c r="V3" s="19">
        <v>46292</v>
      </c>
      <c r="W3" s="17">
        <v>46293</v>
      </c>
      <c r="X3" s="17">
        <v>46294</v>
      </c>
      <c r="Y3" s="17">
        <v>46295</v>
      </c>
      <c r="Z3" s="17">
        <v>46296</v>
      </c>
      <c r="AA3" s="17">
        <v>46297</v>
      </c>
      <c r="AB3" s="18">
        <v>46298</v>
      </c>
      <c r="AC3" s="19">
        <v>46299</v>
      </c>
      <c r="AD3" s="17">
        <v>46300</v>
      </c>
      <c r="AE3" s="17">
        <v>46301</v>
      </c>
      <c r="AF3" s="17">
        <v>46302</v>
      </c>
      <c r="AG3" s="17">
        <v>46303</v>
      </c>
      <c r="AH3" s="17">
        <v>46304</v>
      </c>
      <c r="AI3" s="18">
        <v>46305</v>
      </c>
      <c r="AJ3" s="19">
        <v>46306</v>
      </c>
      <c r="AK3" s="17">
        <v>46307</v>
      </c>
      <c r="AL3" s="17">
        <v>46308</v>
      </c>
      <c r="AM3" s="17">
        <v>46309</v>
      </c>
      <c r="AN3" s="17">
        <v>46310</v>
      </c>
      <c r="AO3" s="17">
        <v>46311</v>
      </c>
      <c r="AP3" s="18">
        <v>46312</v>
      </c>
      <c r="AQ3" s="19">
        <v>46313</v>
      </c>
      <c r="AR3" s="17">
        <v>46314</v>
      </c>
      <c r="AS3" s="17">
        <v>46315</v>
      </c>
      <c r="AT3" s="21">
        <v>46316</v>
      </c>
      <c r="AV3" s="15">
        <v>46290</v>
      </c>
    </row>
    <row r="4" spans="2:48" ht="19.5" customHeight="1">
      <c r="B4" s="3" t="s">
        <v>20</v>
      </c>
      <c r="C4" s="2" t="s">
        <v>21</v>
      </c>
      <c r="D4" s="2"/>
      <c r="E4" s="22"/>
      <c r="F4" s="22"/>
      <c r="G4" s="22"/>
      <c r="H4" s="22"/>
      <c r="I4" s="22"/>
    </row>
    <row r="5" spans="2:48" ht="19.5" customHeight="1">
      <c r="B5" s="3"/>
      <c r="C5" s="22"/>
      <c r="D5" s="23" t="s">
        <v>22</v>
      </c>
      <c r="E5" s="24" t="s">
        <v>7</v>
      </c>
      <c r="F5" s="25">
        <v>46282</v>
      </c>
      <c r="G5" s="25">
        <v>46282</v>
      </c>
      <c r="H5" s="26">
        <f>NETWORKDAYS(F5,G5,$AV$2:$AV$3)</f>
        <v>1</v>
      </c>
      <c r="I5" s="23" t="s">
        <v>23</v>
      </c>
    </row>
    <row r="6" spans="2:48" ht="19.5" customHeight="1">
      <c r="B6" s="3"/>
      <c r="C6" s="22"/>
      <c r="D6" s="23" t="s">
        <v>24</v>
      </c>
      <c r="E6" s="24" t="s">
        <v>7</v>
      </c>
      <c r="F6" s="25">
        <v>46282</v>
      </c>
      <c r="G6" s="25">
        <v>46283</v>
      </c>
      <c r="H6" s="26">
        <f>NETWORKDAYS(F6,G6,$AV$2:$AV$3)</f>
        <v>2</v>
      </c>
      <c r="I6" s="23" t="s">
        <v>25</v>
      </c>
    </row>
    <row r="7" spans="2:48" ht="19.5" customHeight="1">
      <c r="B7" s="3"/>
      <c r="C7" s="2" t="s">
        <v>26</v>
      </c>
      <c r="D7" s="2"/>
      <c r="E7" s="22"/>
      <c r="F7" s="22"/>
      <c r="G7" s="22"/>
      <c r="H7" s="22"/>
      <c r="I7" s="22"/>
    </row>
    <row r="8" spans="2:48" ht="19.5" customHeight="1">
      <c r="B8" s="3"/>
      <c r="C8" s="22"/>
      <c r="D8" s="23" t="s">
        <v>27</v>
      </c>
      <c r="E8" s="24" t="s">
        <v>7</v>
      </c>
      <c r="F8" s="25">
        <v>46283</v>
      </c>
      <c r="G8" s="25">
        <v>46286</v>
      </c>
      <c r="H8" s="26">
        <f>NETWORKDAYS(F8,G8,$AV$2:$AV$3)</f>
        <v>2</v>
      </c>
      <c r="I8" s="23" t="s">
        <v>28</v>
      </c>
    </row>
    <row r="9" spans="2:48" ht="19.5" customHeight="1">
      <c r="B9" s="3"/>
      <c r="C9" s="22"/>
      <c r="D9" s="23" t="s">
        <v>29</v>
      </c>
      <c r="E9" s="24" t="s">
        <v>7</v>
      </c>
      <c r="F9" s="25">
        <v>46286</v>
      </c>
      <c r="G9" s="25">
        <v>46288</v>
      </c>
      <c r="H9" s="26">
        <f>NETWORKDAYS(F9,G9,$AV$2:$AV$3)</f>
        <v>3</v>
      </c>
      <c r="I9" s="23" t="s">
        <v>30</v>
      </c>
    </row>
    <row r="10" spans="2:48" ht="19.5" customHeight="1">
      <c r="B10" s="3"/>
      <c r="C10" s="22"/>
      <c r="D10" s="23" t="s">
        <v>31</v>
      </c>
      <c r="E10" s="24" t="s">
        <v>7</v>
      </c>
      <c r="F10" s="25">
        <v>46286</v>
      </c>
      <c r="G10" s="25">
        <v>46287</v>
      </c>
      <c r="H10" s="26">
        <f>NETWORKDAYS(F10,G10,$AV$2:$AV$3)</f>
        <v>2</v>
      </c>
      <c r="I10" s="23" t="s">
        <v>32</v>
      </c>
    </row>
    <row r="11" spans="2:48" ht="19.5" customHeight="1">
      <c r="B11" s="3"/>
      <c r="C11" s="2" t="s">
        <v>33</v>
      </c>
      <c r="D11" s="2"/>
      <c r="E11" s="22"/>
      <c r="F11" s="22"/>
      <c r="G11" s="22"/>
      <c r="H11" s="22"/>
      <c r="I11" s="22"/>
    </row>
    <row r="12" spans="2:48" ht="19.5" customHeight="1">
      <c r="B12" s="3"/>
      <c r="C12" s="22"/>
      <c r="D12" s="23" t="s">
        <v>34</v>
      </c>
      <c r="E12" s="28" t="s">
        <v>4</v>
      </c>
      <c r="F12" s="25">
        <v>46282</v>
      </c>
      <c r="G12" s="25">
        <v>46283</v>
      </c>
      <c r="H12" s="26">
        <f>NETWORKDAYS(F12,G12,$AV$2:$AV$3)</f>
        <v>2</v>
      </c>
      <c r="I12" s="23" t="s">
        <v>35</v>
      </c>
    </row>
    <row r="13" spans="2:48" ht="19.5" customHeight="1">
      <c r="B13" s="3"/>
      <c r="C13" s="22"/>
      <c r="D13" s="23" t="s">
        <v>36</v>
      </c>
      <c r="E13" s="24" t="s">
        <v>7</v>
      </c>
      <c r="F13" s="25">
        <v>46286</v>
      </c>
      <c r="G13" s="25">
        <v>46293</v>
      </c>
      <c r="H13" s="26">
        <f>NETWORKDAYS(F13,G13,$AV$2:$AV$3)</f>
        <v>4</v>
      </c>
      <c r="I13" s="23" t="s">
        <v>37</v>
      </c>
    </row>
    <row r="14" spans="2:48" ht="19.5" customHeight="1">
      <c r="B14" s="3"/>
      <c r="C14" s="22"/>
      <c r="D14" s="23" t="s">
        <v>38</v>
      </c>
      <c r="E14" s="24" t="s">
        <v>7</v>
      </c>
      <c r="F14" s="25">
        <v>46287</v>
      </c>
      <c r="G14" s="25">
        <v>46288</v>
      </c>
      <c r="H14" s="26">
        <f>NETWORKDAYS(F14,G14,$AV$2:$AV$3)</f>
        <v>2</v>
      </c>
      <c r="I14" s="23" t="s">
        <v>39</v>
      </c>
    </row>
    <row r="15" spans="2:48" ht="19.5" customHeight="1">
      <c r="B15" s="3"/>
      <c r="C15" s="2" t="s">
        <v>40</v>
      </c>
      <c r="D15" s="2"/>
      <c r="E15" s="22"/>
      <c r="F15" s="22"/>
      <c r="G15" s="22"/>
      <c r="H15" s="22"/>
      <c r="I15" s="22"/>
    </row>
    <row r="16" spans="2:48" ht="19.5" customHeight="1">
      <c r="B16" s="3"/>
      <c r="C16" s="22"/>
      <c r="D16" s="23" t="s">
        <v>41</v>
      </c>
      <c r="E16" s="24" t="s">
        <v>7</v>
      </c>
      <c r="F16" s="25">
        <v>46282</v>
      </c>
      <c r="G16" s="25">
        <v>46282</v>
      </c>
      <c r="H16" s="26">
        <f>NETWORKDAYS(F16,G16,$AV$2:$AV$3)</f>
        <v>1</v>
      </c>
      <c r="I16" s="23" t="s">
        <v>42</v>
      </c>
    </row>
    <row r="17" spans="2:9" ht="19.5" customHeight="1">
      <c r="B17" s="3"/>
      <c r="C17" s="22"/>
      <c r="D17" s="23" t="s">
        <v>43</v>
      </c>
      <c r="E17" s="24" t="s">
        <v>7</v>
      </c>
      <c r="F17" s="25">
        <v>46288</v>
      </c>
      <c r="G17" s="25">
        <v>46288</v>
      </c>
      <c r="H17" s="26">
        <f>NETWORKDAYS(F17,G17,$AV$2:$AV$3)</f>
        <v>1</v>
      </c>
      <c r="I17" s="30" t="s">
        <v>44</v>
      </c>
    </row>
    <row r="18" spans="2:9" ht="19.5" customHeight="1">
      <c r="B18" s="3" t="s">
        <v>45</v>
      </c>
      <c r="C18" s="2" t="s">
        <v>46</v>
      </c>
      <c r="D18" s="2"/>
      <c r="E18" s="22"/>
      <c r="F18" s="22"/>
      <c r="G18" s="22"/>
      <c r="H18" s="22"/>
      <c r="I18" s="22"/>
    </row>
    <row r="19" spans="2:9" ht="19.5" customHeight="1">
      <c r="B19" s="3"/>
      <c r="C19" s="22"/>
      <c r="D19" s="23" t="s">
        <v>47</v>
      </c>
      <c r="E19" s="31" t="s">
        <v>6</v>
      </c>
      <c r="F19" s="25">
        <v>46293</v>
      </c>
      <c r="G19" s="25">
        <v>46295</v>
      </c>
      <c r="H19" s="26">
        <f>NETWORKDAYS(F19,G19,$AV$2:$AV$3)</f>
        <v>3</v>
      </c>
      <c r="I19" s="23" t="s">
        <v>48</v>
      </c>
    </row>
    <row r="20" spans="2:9" ht="19.5" customHeight="1">
      <c r="B20" s="3"/>
      <c r="C20" s="22"/>
      <c r="D20" s="23" t="s">
        <v>49</v>
      </c>
      <c r="E20" s="29" t="s">
        <v>5</v>
      </c>
      <c r="F20" s="25">
        <v>46293</v>
      </c>
      <c r="G20" s="25">
        <v>46295</v>
      </c>
      <c r="H20" s="26">
        <f>NETWORKDAYS(F20,G20,$AV$2:$AV$3)</f>
        <v>3</v>
      </c>
      <c r="I20" s="23" t="s">
        <v>50</v>
      </c>
    </row>
    <row r="21" spans="2:9" ht="19.5" customHeight="1">
      <c r="B21" s="3"/>
      <c r="C21" s="22"/>
      <c r="D21" s="23" t="s">
        <v>51</v>
      </c>
      <c r="E21" s="27" t="s">
        <v>3</v>
      </c>
      <c r="F21" s="25">
        <v>46293</v>
      </c>
      <c r="G21" s="25">
        <v>46295</v>
      </c>
      <c r="H21" s="26">
        <f>NETWORKDAYS(F21,G21,$AV$2:$AV$3)</f>
        <v>3</v>
      </c>
      <c r="I21" s="23" t="s">
        <v>52</v>
      </c>
    </row>
    <row r="22" spans="2:9" ht="19.5" customHeight="1">
      <c r="B22" s="3"/>
      <c r="C22" s="2" t="s">
        <v>53</v>
      </c>
      <c r="D22" s="2"/>
      <c r="E22" s="22"/>
      <c r="F22" s="22"/>
      <c r="G22" s="22"/>
      <c r="H22" s="22"/>
      <c r="I22" s="22"/>
    </row>
    <row r="23" spans="2:9" ht="19.5" customHeight="1">
      <c r="B23" s="3"/>
      <c r="C23" s="22"/>
      <c r="D23" s="23" t="s">
        <v>54</v>
      </c>
      <c r="E23" s="28" t="s">
        <v>4</v>
      </c>
      <c r="F23" s="25">
        <v>46293</v>
      </c>
      <c r="G23" s="25">
        <v>46295</v>
      </c>
      <c r="H23" s="26">
        <f>NETWORKDAYS(F23,G23,$AV$2:$AV$3)</f>
        <v>3</v>
      </c>
      <c r="I23" s="23" t="s">
        <v>55</v>
      </c>
    </row>
    <row r="24" spans="2:9" ht="19.5" customHeight="1">
      <c r="B24" s="3"/>
      <c r="C24" s="22"/>
      <c r="D24" s="23" t="s">
        <v>56</v>
      </c>
      <c r="E24" s="31" t="s">
        <v>6</v>
      </c>
      <c r="F24" s="25">
        <v>46294</v>
      </c>
      <c r="G24" s="25">
        <v>46296</v>
      </c>
      <c r="H24" s="26">
        <f>NETWORKDAYS(F24,G24,$AV$2:$AV$3)</f>
        <v>3</v>
      </c>
      <c r="I24" s="23" t="s">
        <v>57</v>
      </c>
    </row>
    <row r="25" spans="2:9" ht="19.5" customHeight="1">
      <c r="B25" s="3"/>
      <c r="C25" s="22"/>
      <c r="D25" s="23" t="s">
        <v>58</v>
      </c>
      <c r="E25" s="29" t="s">
        <v>5</v>
      </c>
      <c r="F25" s="25">
        <v>46294</v>
      </c>
      <c r="G25" s="25">
        <v>46297</v>
      </c>
      <c r="H25" s="26">
        <f>NETWORKDAYS(F25,G25,$AV$2:$AV$3)</f>
        <v>4</v>
      </c>
      <c r="I25" s="23" t="s">
        <v>59</v>
      </c>
    </row>
    <row r="26" spans="2:9" ht="19.5" customHeight="1">
      <c r="B26" s="3"/>
      <c r="C26" s="2" t="s">
        <v>60</v>
      </c>
      <c r="D26" s="2"/>
      <c r="E26" s="22"/>
      <c r="F26" s="22"/>
      <c r="G26" s="22"/>
      <c r="H26" s="22"/>
      <c r="I26" s="22"/>
    </row>
    <row r="27" spans="2:9" ht="19.5" customHeight="1">
      <c r="B27" s="3"/>
      <c r="C27" s="22"/>
      <c r="D27" s="23" t="s">
        <v>61</v>
      </c>
      <c r="E27" s="27" t="s">
        <v>3</v>
      </c>
      <c r="F27" s="25">
        <v>46294</v>
      </c>
      <c r="G27" s="25">
        <v>46297</v>
      </c>
      <c r="H27" s="26">
        <f>NETWORKDAYS(F27,G27,$AV$2:$AV$3)</f>
        <v>4</v>
      </c>
      <c r="I27" s="23" t="s">
        <v>62</v>
      </c>
    </row>
    <row r="28" spans="2:9" ht="19.5" customHeight="1">
      <c r="B28" s="3"/>
      <c r="C28" s="22"/>
      <c r="D28" s="23" t="s">
        <v>63</v>
      </c>
      <c r="E28" s="27" t="s">
        <v>3</v>
      </c>
      <c r="F28" s="25">
        <v>46296</v>
      </c>
      <c r="G28" s="25">
        <v>46300</v>
      </c>
      <c r="H28" s="26">
        <f>NETWORKDAYS(F28,G28,$AV$2:$AV$3)</f>
        <v>3</v>
      </c>
      <c r="I28" s="23" t="s">
        <v>64</v>
      </c>
    </row>
    <row r="29" spans="2:9" ht="19.5" customHeight="1">
      <c r="B29" s="3"/>
      <c r="C29" s="22"/>
      <c r="D29" s="23" t="s">
        <v>65</v>
      </c>
      <c r="E29" s="31" t="s">
        <v>6</v>
      </c>
      <c r="F29" s="25">
        <v>46300</v>
      </c>
      <c r="G29" s="25">
        <v>46301</v>
      </c>
      <c r="H29" s="26">
        <f>NETWORKDAYS(F29,G29,$AV$2:$AV$3)</f>
        <v>2</v>
      </c>
      <c r="I29" s="23" t="s">
        <v>66</v>
      </c>
    </row>
    <row r="30" spans="2:9" ht="19.5" customHeight="1">
      <c r="B30" s="3" t="s">
        <v>67</v>
      </c>
      <c r="C30" s="2" t="s">
        <v>68</v>
      </c>
      <c r="D30" s="2"/>
      <c r="E30" s="22"/>
      <c r="F30" s="22"/>
      <c r="G30" s="22"/>
      <c r="H30" s="22"/>
      <c r="I30" s="22"/>
    </row>
    <row r="31" spans="2:9" ht="19.5" customHeight="1">
      <c r="B31" s="3"/>
      <c r="C31" s="22"/>
      <c r="D31" s="23" t="s">
        <v>69</v>
      </c>
      <c r="E31" s="27" t="s">
        <v>3</v>
      </c>
      <c r="F31" s="25">
        <v>46300</v>
      </c>
      <c r="G31" s="25">
        <v>46302</v>
      </c>
      <c r="H31" s="26">
        <f>NETWORKDAYS(F31,G31,$AV$2:$AV$3)</f>
        <v>3</v>
      </c>
      <c r="I31" s="23" t="s">
        <v>70</v>
      </c>
    </row>
    <row r="32" spans="2:9" ht="19.5" customHeight="1">
      <c r="B32" s="3"/>
      <c r="C32" s="22"/>
      <c r="D32" s="30" t="s">
        <v>71</v>
      </c>
      <c r="E32" s="27" t="s">
        <v>3</v>
      </c>
      <c r="F32" s="25">
        <v>46302</v>
      </c>
      <c r="G32" s="25">
        <v>46303</v>
      </c>
      <c r="H32" s="26">
        <f>NETWORKDAYS(F32,G32,$AV$2:$AV$3)</f>
        <v>2</v>
      </c>
      <c r="I32" s="30" t="s">
        <v>72</v>
      </c>
    </row>
    <row r="33" spans="2:9" ht="19.5" customHeight="1">
      <c r="B33" s="3"/>
      <c r="C33" s="22"/>
      <c r="D33" s="23" t="s">
        <v>73</v>
      </c>
      <c r="E33" s="27" t="s">
        <v>3</v>
      </c>
      <c r="F33" s="25">
        <v>46303</v>
      </c>
      <c r="G33" s="25">
        <v>46304</v>
      </c>
      <c r="H33" s="26">
        <f>NETWORKDAYS(F33,G33,$AV$2:$AV$3)</f>
        <v>2</v>
      </c>
      <c r="I33" s="23" t="s">
        <v>74</v>
      </c>
    </row>
    <row r="34" spans="2:9" ht="19.5" customHeight="1">
      <c r="B34" s="3"/>
      <c r="C34" s="1" t="s">
        <v>75</v>
      </c>
      <c r="D34" s="1"/>
      <c r="E34" s="22"/>
      <c r="F34" s="22"/>
      <c r="G34" s="22"/>
      <c r="H34" s="22"/>
      <c r="I34" s="22"/>
    </row>
    <row r="35" spans="2:9" ht="19.5" customHeight="1">
      <c r="B35" s="3"/>
      <c r="C35" s="22"/>
      <c r="D35" s="23" t="s">
        <v>76</v>
      </c>
      <c r="E35" s="28" t="s">
        <v>4</v>
      </c>
      <c r="F35" s="25">
        <v>46300</v>
      </c>
      <c r="G35" s="25">
        <v>46302</v>
      </c>
      <c r="H35" s="26">
        <f>NETWORKDAYS(F35,G35,$AV$2:$AV$3)</f>
        <v>3</v>
      </c>
      <c r="I35" s="23" t="s">
        <v>77</v>
      </c>
    </row>
    <row r="36" spans="2:9" ht="19.5" customHeight="1">
      <c r="B36" s="3"/>
      <c r="C36" s="22"/>
      <c r="D36" s="23" t="s">
        <v>78</v>
      </c>
      <c r="E36" s="29" t="s">
        <v>5</v>
      </c>
      <c r="F36" s="25">
        <v>46301</v>
      </c>
      <c r="G36" s="25">
        <v>46304</v>
      </c>
      <c r="H36" s="26">
        <f>NETWORKDAYS(F36,G36,$AV$2:$AV$3)</f>
        <v>4</v>
      </c>
      <c r="I36" s="23" t="s">
        <v>79</v>
      </c>
    </row>
    <row r="37" spans="2:9" ht="19.5" customHeight="1">
      <c r="B37" s="3"/>
      <c r="C37" s="22"/>
      <c r="D37" s="30" t="s">
        <v>80</v>
      </c>
      <c r="E37" s="28" t="s">
        <v>4</v>
      </c>
      <c r="F37" s="25">
        <v>46303</v>
      </c>
      <c r="G37" s="25">
        <v>46308</v>
      </c>
      <c r="H37" s="26">
        <f>NETWORKDAYS(F37,G37,$AV$2:$AV$3)</f>
        <v>4</v>
      </c>
      <c r="I37" s="30" t="s">
        <v>81</v>
      </c>
    </row>
    <row r="38" spans="2:9" ht="19.5" customHeight="1">
      <c r="B38" s="3"/>
      <c r="C38" s="2" t="s">
        <v>82</v>
      </c>
      <c r="D38" s="2"/>
      <c r="E38" s="22"/>
      <c r="F38" s="22"/>
      <c r="G38" s="22"/>
      <c r="H38" s="22"/>
      <c r="I38" s="22"/>
    </row>
    <row r="39" spans="2:9" ht="19.5" customHeight="1">
      <c r="B39" s="3"/>
      <c r="C39" s="22"/>
      <c r="D39" s="23" t="s">
        <v>83</v>
      </c>
      <c r="E39" s="24" t="s">
        <v>7</v>
      </c>
      <c r="F39" s="25">
        <v>46307</v>
      </c>
      <c r="G39" s="25">
        <v>46308</v>
      </c>
      <c r="H39" s="26">
        <f>NETWORKDAYS(F39,G39,$AV$2:$AV$3)</f>
        <v>2</v>
      </c>
      <c r="I39" s="23" t="s">
        <v>84</v>
      </c>
    </row>
    <row r="40" spans="2:9" ht="19.5" customHeight="1">
      <c r="B40" s="3"/>
      <c r="C40" s="22"/>
      <c r="D40" s="23" t="s">
        <v>85</v>
      </c>
      <c r="E40" s="24" t="s">
        <v>7</v>
      </c>
      <c r="F40" s="25">
        <v>46307</v>
      </c>
      <c r="G40" s="25">
        <v>46308</v>
      </c>
      <c r="H40" s="26">
        <f>NETWORKDAYS(F40,G40,$AV$2:$AV$3)</f>
        <v>2</v>
      </c>
      <c r="I40" s="23" t="s">
        <v>86</v>
      </c>
    </row>
    <row r="41" spans="2:9" ht="19.5" customHeight="1">
      <c r="B41" s="3" t="s">
        <v>87</v>
      </c>
      <c r="C41" s="2" t="s">
        <v>88</v>
      </c>
      <c r="D41" s="2"/>
      <c r="E41" s="22"/>
      <c r="F41" s="22"/>
      <c r="G41" s="22"/>
      <c r="H41" s="22"/>
      <c r="I41" s="22"/>
    </row>
    <row r="42" spans="2:9" ht="19.5" customHeight="1">
      <c r="B42" s="3"/>
      <c r="C42" s="22"/>
      <c r="D42" s="23" t="s">
        <v>89</v>
      </c>
      <c r="E42" s="29" t="s">
        <v>5</v>
      </c>
      <c r="F42" s="25">
        <v>46307</v>
      </c>
      <c r="G42" s="25">
        <v>46310</v>
      </c>
      <c r="H42" s="26">
        <f>NETWORKDAYS(F42,G42,$AV$2:$AV$3)</f>
        <v>4</v>
      </c>
      <c r="I42" s="23" t="s">
        <v>90</v>
      </c>
    </row>
    <row r="43" spans="2:9" ht="19.5" customHeight="1">
      <c r="B43" s="3"/>
      <c r="C43" s="22"/>
      <c r="D43" s="23" t="s">
        <v>91</v>
      </c>
      <c r="E43" s="29" t="s">
        <v>5</v>
      </c>
      <c r="F43" s="25">
        <v>46308</v>
      </c>
      <c r="G43" s="25">
        <v>46310</v>
      </c>
      <c r="H43" s="26">
        <f>NETWORKDAYS(F43,G43,$AV$2:$AV$3)</f>
        <v>3</v>
      </c>
      <c r="I43" s="23" t="s">
        <v>92</v>
      </c>
    </row>
    <row r="44" spans="2:9" ht="19.5" customHeight="1">
      <c r="B44" s="3"/>
      <c r="C44" s="22"/>
      <c r="D44" s="30" t="s">
        <v>93</v>
      </c>
      <c r="E44" s="28" t="s">
        <v>4</v>
      </c>
      <c r="F44" s="25">
        <v>46307</v>
      </c>
      <c r="G44" s="25">
        <v>46310</v>
      </c>
      <c r="H44" s="26">
        <f>NETWORKDAYS(F44,G44,$AV$2:$AV$3)</f>
        <v>4</v>
      </c>
      <c r="I44" s="23" t="s">
        <v>94</v>
      </c>
    </row>
    <row r="45" spans="2:9" ht="19.5" customHeight="1">
      <c r="B45" s="3"/>
      <c r="C45" s="22"/>
      <c r="D45" s="23" t="s">
        <v>95</v>
      </c>
      <c r="E45" s="29" t="s">
        <v>5</v>
      </c>
      <c r="F45" s="25">
        <v>46310</v>
      </c>
      <c r="G45" s="25">
        <v>46311</v>
      </c>
      <c r="H45" s="26">
        <f>NETWORKDAYS(F45,G45,$AV$2:$AV$3)</f>
        <v>2</v>
      </c>
      <c r="I45" s="23" t="s">
        <v>96</v>
      </c>
    </row>
    <row r="46" spans="2:9" ht="19.5" customHeight="1">
      <c r="B46" s="3"/>
      <c r="C46" s="2" t="s">
        <v>97</v>
      </c>
      <c r="D46" s="2"/>
      <c r="E46" s="22"/>
      <c r="F46" s="22"/>
      <c r="G46" s="22"/>
      <c r="H46" s="22"/>
      <c r="I46" s="22"/>
    </row>
    <row r="47" spans="2:9" ht="19.5" customHeight="1">
      <c r="B47" s="3"/>
      <c r="C47" s="22"/>
      <c r="D47" s="23" t="s">
        <v>98</v>
      </c>
      <c r="E47" s="31" t="s">
        <v>6</v>
      </c>
      <c r="F47" s="25">
        <v>46308</v>
      </c>
      <c r="G47" s="25">
        <v>46311</v>
      </c>
      <c r="H47" s="26">
        <f>NETWORKDAYS(F47,G47,$AV$2:$AV$3)</f>
        <v>4</v>
      </c>
      <c r="I47" s="23" t="s">
        <v>99</v>
      </c>
    </row>
    <row r="48" spans="2:9" ht="19.5" customHeight="1">
      <c r="B48" s="3"/>
      <c r="C48" s="22"/>
      <c r="D48" s="30" t="s">
        <v>100</v>
      </c>
      <c r="E48" s="31" t="s">
        <v>6</v>
      </c>
      <c r="F48" s="25">
        <v>46311</v>
      </c>
      <c r="G48" s="25">
        <v>46314</v>
      </c>
      <c r="H48" s="26">
        <f>NETWORKDAYS(F48,G48,$AV$2:$AV$3)</f>
        <v>2</v>
      </c>
      <c r="I48" s="30" t="s">
        <v>101</v>
      </c>
    </row>
    <row r="49" spans="2:9" ht="19.5" customHeight="1">
      <c r="B49" s="3"/>
      <c r="C49" s="2" t="s">
        <v>102</v>
      </c>
      <c r="D49" s="2"/>
      <c r="E49" s="22"/>
      <c r="F49" s="22"/>
      <c r="G49" s="22"/>
      <c r="H49" s="22"/>
      <c r="I49" s="22"/>
    </row>
    <row r="50" spans="2:9" ht="19.5" customHeight="1">
      <c r="B50" s="3"/>
      <c r="C50" s="22"/>
      <c r="D50" s="23" t="s">
        <v>103</v>
      </c>
      <c r="E50" s="24" t="s">
        <v>7</v>
      </c>
      <c r="F50" s="25">
        <v>46314</v>
      </c>
      <c r="G50" s="25">
        <v>46316</v>
      </c>
      <c r="H50" s="26">
        <f>NETWORKDAYS(F50,G50,$AV$2:$AV$3)</f>
        <v>3</v>
      </c>
      <c r="I50" s="23" t="s">
        <v>104</v>
      </c>
    </row>
    <row r="51" spans="2:9" ht="19.5" customHeight="1">
      <c r="B51" s="3"/>
      <c r="C51" s="22"/>
      <c r="D51" s="23" t="s">
        <v>105</v>
      </c>
      <c r="E51" s="24" t="s">
        <v>7</v>
      </c>
      <c r="F51" s="25">
        <v>46314</v>
      </c>
      <c r="G51" s="25">
        <v>46315</v>
      </c>
      <c r="H51" s="26">
        <f>NETWORKDAYS(F51,G51,$AV$2:$AV$3)</f>
        <v>2</v>
      </c>
      <c r="I51" s="23" t="s">
        <v>106</v>
      </c>
    </row>
    <row r="52" spans="2:9" ht="19.5" customHeight="1">
      <c r="B52" s="3"/>
      <c r="C52" s="22"/>
      <c r="D52" s="23" t="s">
        <v>107</v>
      </c>
      <c r="E52" s="24" t="s">
        <v>7</v>
      </c>
      <c r="F52" s="25">
        <v>46315</v>
      </c>
      <c r="G52" s="25">
        <v>46315</v>
      </c>
      <c r="H52" s="26">
        <f>NETWORKDAYS(F52,G52,$AV$2:$AV$3)</f>
        <v>1</v>
      </c>
      <c r="I52" s="23" t="s">
        <v>108</v>
      </c>
    </row>
    <row r="53" spans="2:9" ht="19.5" customHeight="1">
      <c r="B53" s="3" t="s">
        <v>109</v>
      </c>
      <c r="C53" s="2" t="s">
        <v>110</v>
      </c>
      <c r="D53" s="2"/>
      <c r="E53" s="22"/>
      <c r="F53" s="22"/>
      <c r="G53" s="22"/>
      <c r="H53" s="22"/>
      <c r="I53" s="22"/>
    </row>
    <row r="54" spans="2:9" ht="19.5" customHeight="1">
      <c r="B54" s="3"/>
      <c r="C54" s="22"/>
      <c r="D54" s="30" t="s">
        <v>111</v>
      </c>
      <c r="E54" s="24" t="s">
        <v>7</v>
      </c>
      <c r="F54" s="25">
        <v>46316</v>
      </c>
      <c r="G54" s="25">
        <v>46316</v>
      </c>
      <c r="H54" s="26">
        <f>NETWORKDAYS(F54,G54,$AV$2:$AV$3)</f>
        <v>1</v>
      </c>
      <c r="I54" s="23" t="s">
        <v>112</v>
      </c>
    </row>
    <row r="65" spans="2:2" ht="15">
      <c r="B65" s="32" t="s">
        <v>113</v>
      </c>
    </row>
  </sheetData>
  <mergeCells count="20">
    <mergeCell ref="B41:B52"/>
    <mergeCell ref="C41:D41"/>
    <mergeCell ref="C46:D46"/>
    <mergeCell ref="C49:D49"/>
    <mergeCell ref="B53:B54"/>
    <mergeCell ref="C53:D53"/>
    <mergeCell ref="B18:B29"/>
    <mergeCell ref="C18:D18"/>
    <mergeCell ref="C22:D22"/>
    <mergeCell ref="C26:D26"/>
    <mergeCell ref="B30:B40"/>
    <mergeCell ref="C30:D30"/>
    <mergeCell ref="C34:D34"/>
    <mergeCell ref="C38:D38"/>
    <mergeCell ref="B1:I1"/>
    <mergeCell ref="B4:B17"/>
    <mergeCell ref="C4:D4"/>
    <mergeCell ref="C7:D7"/>
    <mergeCell ref="C11:D11"/>
    <mergeCell ref="C15:D15"/>
  </mergeCells>
  <phoneticPr fontId="22" type="noConversion"/>
  <conditionalFormatting sqref="K4:AT54">
    <cfRule type="expression" dxfId="6" priority="2">
      <formula>AND($E4="팀원A",K$3&gt;=$F4,K$3&lt;=$G4,AND(WEEKDAY(K$3,2)&lt;6,K$3&lt;&gt;DATE(2026,9,24),K$3&lt;&gt;DATE(2026,9,25)))</formula>
    </cfRule>
    <cfRule type="expression" dxfId="5" priority="3">
      <formula>AND($E4="팀원B",K$3&gt;=$F4,K$3&lt;=$G4,AND(WEEKDAY(K$3,2)&lt;6,K$3&lt;&gt;DATE(2026,9,24),K$3&lt;&gt;DATE(2026,9,25)))</formula>
    </cfRule>
    <cfRule type="expression" dxfId="4" priority="4">
      <formula>AND($E4="팀원C",K$3&gt;=$F4,K$3&lt;=$G4,AND(WEEKDAY(K$3,2)&lt;6,K$3&lt;&gt;DATE(2026,9,24),K$3&lt;&gt;DATE(2026,9,25)))</formula>
    </cfRule>
    <cfRule type="expression" dxfId="3" priority="5">
      <formula>AND($E4="팀원D",K$3&gt;=$F4,K$3&lt;=$G4,AND(WEEKDAY(K$3,2)&lt;6,K$3&lt;&gt;DATE(2026,9,24),K$3&lt;&gt;DATE(2026,9,25)))</formula>
    </cfRule>
    <cfRule type="expression" dxfId="2" priority="6">
      <formula>AND($E4="전원",K$3&gt;=$F4,K$3&lt;=$G4,AND(WEEKDAY(K$3,2)&lt;6,K$3&lt;&gt;DATE(2026,9,24),K$3&lt;&gt;DATE(2026,9,25)))</formula>
    </cfRule>
    <cfRule type="expression" dxfId="1" priority="7">
      <formula>OR(K$3=DATE(2026,9,24),K$3=DATE(2026,9,25),K$3=DATE(2026,9,26))</formula>
    </cfRule>
    <cfRule type="expression" dxfId="0" priority="8">
      <formula>OR(WEEKDAY(K$3)=1,WEEKDAY(K$3)=7)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승현 김</cp:lastModifiedBy>
  <cp:revision>0</cp:revision>
  <dcterms:created xsi:type="dcterms:W3CDTF">2026-09-17T10:11:51Z</dcterms:created>
  <dcterms:modified xsi:type="dcterms:W3CDTF">2026-09-17T10:13:57Z</dcterms:modified>
  <dc:language>en-US</dc:language>
</cp:coreProperties>
</file>